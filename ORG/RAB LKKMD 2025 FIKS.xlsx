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matif\RAB\"/>
    </mc:Choice>
  </mc:AlternateContent>
  <xr:revisionPtr revIDLastSave="0" documentId="13_ncr:1_{A335C285-7B76-4E58-9339-6705789724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Sheet1!$B$1:$G$53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9" i="1"/>
  <c r="G30" i="1"/>
  <c r="G31" i="1"/>
  <c r="G29" i="1"/>
  <c r="G24" i="1"/>
  <c r="G8" i="1"/>
  <c r="G7" i="1" s="1"/>
  <c r="G26" i="1" l="1"/>
  <c r="G41" i="1"/>
  <c r="G37" i="1"/>
  <c r="G16" i="1"/>
  <c r="G40" i="1"/>
  <c r="G36" i="1" l="1"/>
  <c r="G17" i="1"/>
  <c r="G19" i="1" l="1"/>
  <c r="G35" i="1"/>
  <c r="G34" i="1" s="1"/>
  <c r="G32" i="1"/>
  <c r="G28" i="1" s="1"/>
  <c r="G22" i="1"/>
  <c r="G23" i="1"/>
  <c r="G18" i="1"/>
  <c r="G12" i="1"/>
  <c r="G11" i="1"/>
  <c r="G15" i="1" l="1"/>
  <c r="G21" i="1"/>
  <c r="G10" i="1"/>
  <c r="G43" i="1" s="1"/>
  <c r="F49" i="1" l="1"/>
</calcChain>
</file>

<file path=xl/sharedStrings.xml><?xml version="1.0" encoding="utf-8"?>
<sst xmlns="http://schemas.openxmlformats.org/spreadsheetml/2006/main" count="101" uniqueCount="69">
  <si>
    <t>No.</t>
  </si>
  <si>
    <t>Uraian</t>
  </si>
  <si>
    <t>Rincian Perhitungan</t>
  </si>
  <si>
    <t>Satuan</t>
  </si>
  <si>
    <t>Jumlah</t>
  </si>
  <si>
    <t>Harga Satuan (Rp)</t>
  </si>
  <si>
    <t>Jumlah (Rp)</t>
  </si>
  <si>
    <t>I</t>
  </si>
  <si>
    <t>Rencana Anggaran Biaya (RAB)</t>
  </si>
  <si>
    <t>II</t>
  </si>
  <si>
    <t>Sie. Acara</t>
  </si>
  <si>
    <t>Sie. PDD</t>
  </si>
  <si>
    <t>TOTAL</t>
  </si>
  <si>
    <t>Pcs</t>
  </si>
  <si>
    <t>Sie. Konsumsi</t>
  </si>
  <si>
    <t>RO Galon</t>
  </si>
  <si>
    <t>Isi ulang</t>
  </si>
  <si>
    <t>Pack</t>
  </si>
  <si>
    <t>III</t>
  </si>
  <si>
    <t>IV</t>
  </si>
  <si>
    <t>Sie. Kesehatan</t>
  </si>
  <si>
    <t>Peniti</t>
  </si>
  <si>
    <t>Sie. Logistik</t>
  </si>
  <si>
    <t>Isi Stapler</t>
  </si>
  <si>
    <t>V</t>
  </si>
  <si>
    <t>VI</t>
  </si>
  <si>
    <t>TOTAL REKAPITULASI</t>
  </si>
  <si>
    <t>TERBILANG</t>
  </si>
  <si>
    <t>Gulung</t>
  </si>
  <si>
    <t>Kertas Linen (Sertifikat)</t>
  </si>
  <si>
    <t>Pita (Merah, Hijau, Kuning)</t>
  </si>
  <si>
    <t>Map Biola (Tempat Sertifikat)</t>
  </si>
  <si>
    <t>Benner 3x1</t>
  </si>
  <si>
    <t xml:space="preserve"> </t>
  </si>
  <si>
    <t>Kg</t>
  </si>
  <si>
    <t>Botol</t>
  </si>
  <si>
    <t>Lembar</t>
  </si>
  <si>
    <t>Kertas HVS</t>
  </si>
  <si>
    <t>Rim</t>
  </si>
  <si>
    <t>Permen (Ice Breaking)</t>
  </si>
  <si>
    <t>Nama Toko</t>
  </si>
  <si>
    <t>Sekretaris</t>
  </si>
  <si>
    <t>Buah</t>
  </si>
  <si>
    <t>Gelas Cup Plastik</t>
  </si>
  <si>
    <t>Snack Ball</t>
  </si>
  <si>
    <t>Tisu</t>
  </si>
  <si>
    <t>Roti</t>
  </si>
  <si>
    <t>Hadiah (Snack)</t>
  </si>
  <si>
    <t>Batrai ABC</t>
  </si>
  <si>
    <t>Tali Rafia</t>
  </si>
  <si>
    <t>Lakban</t>
  </si>
  <si>
    <t>FC Chaniago</t>
  </si>
  <si>
    <t>Adhit Water RO</t>
  </si>
  <si>
    <t>Toko Eza Grosir</t>
  </si>
  <si>
    <t>Kertas Minyak (Tempat Snack)</t>
  </si>
  <si>
    <t>Toko Amanda</t>
  </si>
  <si>
    <t>Atiga Printing</t>
  </si>
  <si>
    <t>Putra Risky Buah</t>
  </si>
  <si>
    <t>Toko Anis</t>
  </si>
  <si>
    <t>LKKM-D 2025</t>
  </si>
  <si>
    <t>FreshCare</t>
  </si>
  <si>
    <t>Alfamart</t>
  </si>
  <si>
    <t>Salonpas Koyo</t>
  </si>
  <si>
    <t>Air Mineral Botol</t>
  </si>
  <si>
    <t>Selotip</t>
  </si>
  <si>
    <t>Meter</t>
  </si>
  <si>
    <t>Buah (Games)</t>
  </si>
  <si>
    <t>"Enam Ratus Enam Puluh Dua Ribu Rupiah"</t>
  </si>
  <si>
    <t>Sampul Coklat 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</si>
</sst>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3809]* #,##0_-;\-[$Rp-3809]* #,##0_-;_-[$Rp-3809]* &quot;-&quot;??_-;_-@_-"/>
  </numFmts>
  <fonts count="6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2" fontId="2" fillId="0" borderId="1" xfId="0" applyNumberFormat="1" applyFont="1" applyBorder="1" applyAlignment="1">
      <alignment horizontal="center"/>
    </xf>
    <xf numFmtId="42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42" fontId="2" fillId="0" borderId="1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42" fontId="1" fillId="0" borderId="3" xfId="0" applyNumberFormat="1" applyFont="1" applyBorder="1" applyAlignment="1">
      <alignment horizontal="center"/>
    </xf>
    <xf numFmtId="42" fontId="2" fillId="0" borderId="3" xfId="0" applyNumberFormat="1" applyFont="1" applyBorder="1" applyAlignment="1">
      <alignment horizontal="center"/>
    </xf>
    <xf numFmtId="42" fontId="1" fillId="0" borderId="3" xfId="0" applyNumberFormat="1" applyFont="1" applyBorder="1" applyAlignment="1">
      <alignment horizontal="center" vertical="center"/>
    </xf>
    <xf numFmtId="42" fontId="2" fillId="0" borderId="3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2" fontId="1" fillId="3" borderId="3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2" fontId="2" fillId="3" borderId="1" xfId="0" applyNumberFormat="1" applyFont="1" applyFill="1" applyBorder="1" applyAlignment="1">
      <alignment horizontal="center" vertical="center"/>
    </xf>
    <xf numFmtId="42" fontId="2" fillId="3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1" fillId="0" borderId="6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I76"/>
  <sheetViews>
    <sheetView tabSelected="1" topLeftCell="A11" zoomScale="79" zoomScaleNormal="99" workbookViewId="0">
      <selection activeCell="C23" sqref="C23"/>
    </sheetView>
  </sheetViews>
  <sheetFormatPr defaultColWidth="9.1796875" defaultRowHeight="15.5" x14ac:dyDescent="0.35"/>
  <cols>
    <col min="1" max="1" width="9.1796875" style="2"/>
    <col min="2" max="2" width="6.453125" style="4" customWidth="1"/>
    <col min="3" max="3" width="28.90625" style="2" customWidth="1"/>
    <col min="4" max="4" width="11" style="1" customWidth="1"/>
    <col min="5" max="5" width="9.7265625" style="1" customWidth="1"/>
    <col min="6" max="6" width="18.81640625" style="12" customWidth="1"/>
    <col min="7" max="7" width="13.7265625" style="12" customWidth="1"/>
    <col min="8" max="8" width="19.453125" style="2" customWidth="1"/>
    <col min="9" max="9" width="11.26953125" style="2" customWidth="1"/>
    <col min="10" max="12" width="9.1796875" style="2"/>
    <col min="13" max="13" width="16.26953125" style="2" customWidth="1"/>
    <col min="14" max="14" width="5.08984375" style="2" customWidth="1"/>
    <col min="15" max="15" width="5.1796875" style="2" customWidth="1"/>
    <col min="16" max="16" width="5.26953125" style="2" customWidth="1"/>
    <col min="17" max="17" width="4.90625" style="2" customWidth="1"/>
    <col min="18" max="22" width="5" style="2" customWidth="1"/>
    <col min="23" max="23" width="5.26953125" style="2" customWidth="1"/>
    <col min="24" max="25" width="5" style="2" customWidth="1"/>
    <col min="26" max="16384" width="9.1796875" style="2"/>
  </cols>
  <sheetData>
    <row r="1" spans="2:9" ht="15.75" customHeight="1" x14ac:dyDescent="0.35">
      <c r="B1" s="43"/>
      <c r="C1" s="43"/>
      <c r="D1" s="43"/>
      <c r="E1" s="43"/>
      <c r="F1" s="43"/>
      <c r="G1" s="43"/>
    </row>
    <row r="2" spans="2:9" ht="15.75" customHeight="1" x14ac:dyDescent="0.35">
      <c r="B2" s="48" t="s">
        <v>8</v>
      </c>
      <c r="C2" s="48"/>
      <c r="D2" s="48"/>
      <c r="E2" s="48"/>
      <c r="F2" s="48"/>
      <c r="G2" s="48"/>
      <c r="H2" s="48"/>
      <c r="I2" s="48"/>
    </row>
    <row r="3" spans="2:9" ht="15.75" customHeight="1" x14ac:dyDescent="0.35">
      <c r="B3" s="48" t="s">
        <v>59</v>
      </c>
      <c r="C3" s="48"/>
      <c r="D3" s="48"/>
      <c r="E3" s="48"/>
      <c r="F3" s="48"/>
      <c r="G3" s="48"/>
      <c r="H3" s="48"/>
      <c r="I3" s="48"/>
    </row>
    <row r="4" spans="2:9" ht="15.75" customHeight="1" x14ac:dyDescent="0.35">
      <c r="B4" s="44"/>
      <c r="C4" s="44"/>
      <c r="D4" s="44"/>
      <c r="E4" s="44"/>
      <c r="F4" s="44"/>
      <c r="G4" s="44"/>
      <c r="H4" s="49"/>
      <c r="I4" s="50"/>
    </row>
    <row r="5" spans="2:9" ht="17.149999999999999" customHeight="1" x14ac:dyDescent="0.35">
      <c r="B5" s="46" t="s">
        <v>0</v>
      </c>
      <c r="C5" s="46" t="s">
        <v>1</v>
      </c>
      <c r="D5" s="46" t="s">
        <v>2</v>
      </c>
      <c r="E5" s="46"/>
      <c r="F5" s="47" t="s">
        <v>5</v>
      </c>
      <c r="G5" s="45" t="s">
        <v>6</v>
      </c>
      <c r="H5" s="51" t="s">
        <v>40</v>
      </c>
    </row>
    <row r="6" spans="2:9" ht="17.149999999999999" customHeight="1" x14ac:dyDescent="0.35">
      <c r="B6" s="46"/>
      <c r="C6" s="46"/>
      <c r="D6" s="17" t="s">
        <v>3</v>
      </c>
      <c r="E6" s="17" t="s">
        <v>4</v>
      </c>
      <c r="F6" s="47"/>
      <c r="G6" s="45"/>
      <c r="H6" s="52"/>
    </row>
    <row r="7" spans="2:9" s="3" customFormat="1" ht="17.149999999999999" customHeight="1" x14ac:dyDescent="0.3">
      <c r="B7" s="23" t="s">
        <v>7</v>
      </c>
      <c r="C7" s="26" t="s">
        <v>41</v>
      </c>
      <c r="D7" s="53"/>
      <c r="E7" s="54"/>
      <c r="F7" s="55"/>
      <c r="G7" s="24">
        <f>SUM(G8)</f>
        <v>60000</v>
      </c>
      <c r="H7" s="28"/>
    </row>
    <row r="8" spans="2:9" ht="17.149999999999999" customHeight="1" x14ac:dyDescent="0.35">
      <c r="B8" s="23"/>
      <c r="C8" s="27" t="s">
        <v>37</v>
      </c>
      <c r="D8" s="28" t="s">
        <v>38</v>
      </c>
      <c r="E8" s="28">
        <v>1</v>
      </c>
      <c r="F8" s="29">
        <v>60000</v>
      </c>
      <c r="G8" s="30">
        <f>E8*F8</f>
        <v>60000</v>
      </c>
      <c r="H8" s="28" t="s">
        <v>51</v>
      </c>
    </row>
    <row r="9" spans="2:9" ht="17.149999999999999" customHeight="1" x14ac:dyDescent="0.35">
      <c r="B9" s="53"/>
      <c r="C9" s="54"/>
      <c r="D9" s="54"/>
      <c r="E9" s="54"/>
      <c r="F9" s="54"/>
      <c r="G9" s="54"/>
      <c r="H9" s="55"/>
    </row>
    <row r="10" spans="2:9" ht="17.149999999999999" customHeight="1" x14ac:dyDescent="0.35">
      <c r="B10" s="5" t="s">
        <v>9</v>
      </c>
      <c r="C10" s="25" t="s">
        <v>11</v>
      </c>
      <c r="D10" s="62"/>
      <c r="E10" s="63"/>
      <c r="F10" s="64"/>
      <c r="G10" s="19">
        <f>SUM(G11:G13)</f>
        <v>90000</v>
      </c>
      <c r="H10" s="32"/>
    </row>
    <row r="11" spans="2:9" ht="17.149999999999999" customHeight="1" x14ac:dyDescent="0.35">
      <c r="B11" s="8"/>
      <c r="C11" s="6" t="s">
        <v>29</v>
      </c>
      <c r="D11" s="7" t="s">
        <v>13</v>
      </c>
      <c r="E11" s="7">
        <v>3</v>
      </c>
      <c r="F11" s="11">
        <v>5000</v>
      </c>
      <c r="G11" s="20">
        <f>F11*E11</f>
        <v>15000</v>
      </c>
      <c r="H11" s="33" t="s">
        <v>51</v>
      </c>
    </row>
    <row r="12" spans="2:9" ht="17.149999999999999" customHeight="1" x14ac:dyDescent="0.35">
      <c r="B12" s="8"/>
      <c r="C12" s="6" t="s">
        <v>31</v>
      </c>
      <c r="D12" s="7" t="s">
        <v>13</v>
      </c>
      <c r="E12" s="7">
        <v>5</v>
      </c>
      <c r="F12" s="11">
        <v>3000</v>
      </c>
      <c r="G12" s="20">
        <f>F12*E12</f>
        <v>15000</v>
      </c>
      <c r="H12" s="33" t="s">
        <v>51</v>
      </c>
    </row>
    <row r="13" spans="2:9" s="3" customFormat="1" ht="17.149999999999999" customHeight="1" x14ac:dyDescent="0.35">
      <c r="B13" s="8"/>
      <c r="C13" s="6" t="s">
        <v>32</v>
      </c>
      <c r="D13" s="7" t="s">
        <v>65</v>
      </c>
      <c r="E13" s="7">
        <v>1</v>
      </c>
      <c r="F13" s="11">
        <v>60000</v>
      </c>
      <c r="G13" s="20">
        <v>60000</v>
      </c>
      <c r="H13" s="33" t="s">
        <v>56</v>
      </c>
    </row>
    <row r="14" spans="2:9" ht="17.149999999999999" customHeight="1" x14ac:dyDescent="0.35">
      <c r="B14" s="61"/>
      <c r="C14" s="59"/>
      <c r="D14" s="59"/>
      <c r="E14" s="59"/>
      <c r="F14" s="59"/>
      <c r="G14" s="59"/>
      <c r="H14" s="60"/>
    </row>
    <row r="15" spans="2:9" ht="17.149999999999999" customHeight="1" x14ac:dyDescent="0.35">
      <c r="B15" s="8" t="s">
        <v>18</v>
      </c>
      <c r="C15" s="10" t="s">
        <v>14</v>
      </c>
      <c r="D15" s="61"/>
      <c r="E15" s="59"/>
      <c r="F15" s="60"/>
      <c r="G15" s="19">
        <f>SUM(G16:G19)</f>
        <v>153000</v>
      </c>
      <c r="H15" s="33"/>
    </row>
    <row r="16" spans="2:9" ht="17.149999999999999" customHeight="1" x14ac:dyDescent="0.35">
      <c r="B16" s="8"/>
      <c r="C16" s="6" t="s">
        <v>15</v>
      </c>
      <c r="D16" s="7" t="s">
        <v>16</v>
      </c>
      <c r="E16" s="7">
        <v>8</v>
      </c>
      <c r="F16" s="11">
        <v>5000</v>
      </c>
      <c r="G16" s="20">
        <f>E16*F16</f>
        <v>40000</v>
      </c>
      <c r="H16" s="33" t="s">
        <v>52</v>
      </c>
    </row>
    <row r="17" spans="2:8" ht="17.149999999999999" customHeight="1" x14ac:dyDescent="0.35">
      <c r="B17" s="8"/>
      <c r="C17" s="6" t="s">
        <v>43</v>
      </c>
      <c r="D17" s="7" t="s">
        <v>17</v>
      </c>
      <c r="E17" s="7">
        <v>3</v>
      </c>
      <c r="F17" s="11">
        <v>6000</v>
      </c>
      <c r="G17" s="20">
        <f>F17*E17</f>
        <v>18000</v>
      </c>
      <c r="H17" s="33" t="s">
        <v>53</v>
      </c>
    </row>
    <row r="18" spans="2:8" ht="17.149999999999999" customHeight="1" x14ac:dyDescent="0.35">
      <c r="B18" s="8"/>
      <c r="C18" s="6" t="s">
        <v>44</v>
      </c>
      <c r="D18" s="7" t="s">
        <v>17</v>
      </c>
      <c r="E18" s="7">
        <v>4</v>
      </c>
      <c r="F18" s="11">
        <v>20000</v>
      </c>
      <c r="G18" s="20">
        <f t="shared" ref="G18:G19" si="0">F18*E18</f>
        <v>80000</v>
      </c>
      <c r="H18" s="33" t="s">
        <v>58</v>
      </c>
    </row>
    <row r="19" spans="2:8" ht="17.149999999999999" customHeight="1" x14ac:dyDescent="0.35">
      <c r="B19" s="8"/>
      <c r="C19" s="6" t="s">
        <v>54</v>
      </c>
      <c r="D19" s="7" t="s">
        <v>28</v>
      </c>
      <c r="E19" s="7">
        <v>5</v>
      </c>
      <c r="F19" s="11">
        <v>3000</v>
      </c>
      <c r="G19" s="20">
        <f t="shared" si="0"/>
        <v>15000</v>
      </c>
      <c r="H19" s="33" t="s">
        <v>58</v>
      </c>
    </row>
    <row r="20" spans="2:8" ht="17.149999999999999" customHeight="1" x14ac:dyDescent="0.35">
      <c r="B20" s="31"/>
      <c r="C20" s="59"/>
      <c r="D20" s="59"/>
      <c r="E20" s="59"/>
      <c r="F20" s="59"/>
      <c r="G20" s="59"/>
      <c r="H20" s="60"/>
    </row>
    <row r="21" spans="2:8" ht="17.149999999999999" customHeight="1" x14ac:dyDescent="0.35">
      <c r="B21" s="8" t="s">
        <v>19</v>
      </c>
      <c r="C21" s="9" t="s">
        <v>10</v>
      </c>
      <c r="D21" s="61"/>
      <c r="E21" s="59"/>
      <c r="F21" s="60"/>
      <c r="G21" s="21">
        <f>SUM(G22:G26)</f>
        <v>179000</v>
      </c>
      <c r="H21" s="33"/>
    </row>
    <row r="22" spans="2:8" ht="17.149999999999999" customHeight="1" x14ac:dyDescent="0.35">
      <c r="B22" s="13"/>
      <c r="C22" s="13" t="s">
        <v>68</v>
      </c>
      <c r="D22" s="7" t="s">
        <v>36</v>
      </c>
      <c r="E22" s="7">
        <v>2</v>
      </c>
      <c r="F22" s="14">
        <v>3000</v>
      </c>
      <c r="G22" s="22">
        <f t="shared" ref="G22:G26" si="1">F22*E22</f>
        <v>6000</v>
      </c>
      <c r="H22" s="33" t="s">
        <v>51</v>
      </c>
    </row>
    <row r="23" spans="2:8" ht="17.149999999999999" customHeight="1" x14ac:dyDescent="0.35">
      <c r="B23" s="13"/>
      <c r="C23" s="13" t="s">
        <v>47</v>
      </c>
      <c r="D23" s="7" t="s">
        <v>17</v>
      </c>
      <c r="E23" s="7">
        <v>6</v>
      </c>
      <c r="F23" s="14">
        <v>10000</v>
      </c>
      <c r="G23" s="22">
        <f t="shared" si="1"/>
        <v>60000</v>
      </c>
      <c r="H23" s="33" t="s">
        <v>53</v>
      </c>
    </row>
    <row r="24" spans="2:8" ht="17.149999999999999" customHeight="1" x14ac:dyDescent="0.35">
      <c r="B24" s="13"/>
      <c r="C24" s="6" t="s">
        <v>66</v>
      </c>
      <c r="D24" s="7" t="s">
        <v>34</v>
      </c>
      <c r="E24" s="7">
        <v>2</v>
      </c>
      <c r="F24" s="18">
        <v>30000</v>
      </c>
      <c r="G24" s="12">
        <f>E24*F24</f>
        <v>60000</v>
      </c>
      <c r="H24" s="33" t="s">
        <v>57</v>
      </c>
    </row>
    <row r="25" spans="2:8" ht="17.149999999999999" customHeight="1" x14ac:dyDescent="0.35">
      <c r="B25" s="13"/>
      <c r="C25" s="6" t="s">
        <v>64</v>
      </c>
      <c r="D25" s="7" t="s">
        <v>13</v>
      </c>
      <c r="E25" s="7">
        <v>1</v>
      </c>
      <c r="F25" s="18">
        <v>3000</v>
      </c>
      <c r="G25" s="11">
        <v>3000</v>
      </c>
      <c r="H25" s="33" t="s">
        <v>51</v>
      </c>
    </row>
    <row r="26" spans="2:8" ht="17.149999999999999" customHeight="1" x14ac:dyDescent="0.35">
      <c r="B26" s="13"/>
      <c r="C26" s="13" t="s">
        <v>39</v>
      </c>
      <c r="D26" s="7" t="s">
        <v>17</v>
      </c>
      <c r="E26" s="7">
        <v>5</v>
      </c>
      <c r="F26" s="14">
        <v>10000</v>
      </c>
      <c r="G26" s="22">
        <f t="shared" si="1"/>
        <v>50000</v>
      </c>
      <c r="H26" s="33" t="s">
        <v>53</v>
      </c>
    </row>
    <row r="27" spans="2:8" ht="17.149999999999999" customHeight="1" x14ac:dyDescent="0.35">
      <c r="B27" s="56"/>
      <c r="C27" s="57"/>
      <c r="D27" s="57"/>
      <c r="E27" s="57"/>
      <c r="F27" s="57"/>
      <c r="G27" s="57"/>
      <c r="H27" s="58"/>
    </row>
    <row r="28" spans="2:8" ht="17.149999999999999" customHeight="1" x14ac:dyDescent="0.35">
      <c r="B28" s="8" t="s">
        <v>24</v>
      </c>
      <c r="C28" s="9" t="s">
        <v>22</v>
      </c>
      <c r="D28" s="61"/>
      <c r="E28" s="59"/>
      <c r="F28" s="60"/>
      <c r="G28" s="21">
        <f>SUM(G29:G32)</f>
        <v>54000</v>
      </c>
      <c r="H28" s="33"/>
    </row>
    <row r="29" spans="2:8" ht="17.149999999999999" customHeight="1" x14ac:dyDescent="0.35">
      <c r="B29" s="8"/>
      <c r="C29" s="13" t="s">
        <v>48</v>
      </c>
      <c r="D29" s="7" t="s">
        <v>17</v>
      </c>
      <c r="E29" s="7">
        <v>2</v>
      </c>
      <c r="F29" s="14">
        <v>10000</v>
      </c>
      <c r="G29" s="22">
        <f>E29*F29</f>
        <v>20000</v>
      </c>
      <c r="H29" s="33" t="s">
        <v>53</v>
      </c>
    </row>
    <row r="30" spans="2:8" ht="17.149999999999999" customHeight="1" x14ac:dyDescent="0.35">
      <c r="B30" s="8"/>
      <c r="C30" s="13" t="s">
        <v>49</v>
      </c>
      <c r="D30" s="7" t="s">
        <v>42</v>
      </c>
      <c r="E30" s="7">
        <v>1</v>
      </c>
      <c r="F30" s="14">
        <v>16000</v>
      </c>
      <c r="G30" s="22">
        <f>E30*F30</f>
        <v>16000</v>
      </c>
      <c r="H30" s="33" t="s">
        <v>53</v>
      </c>
    </row>
    <row r="31" spans="2:8" ht="17.149999999999999" customHeight="1" x14ac:dyDescent="0.35">
      <c r="B31" s="8"/>
      <c r="C31" s="13" t="s">
        <v>50</v>
      </c>
      <c r="D31" s="7" t="s">
        <v>28</v>
      </c>
      <c r="E31" s="7">
        <v>1</v>
      </c>
      <c r="F31" s="14">
        <v>12000</v>
      </c>
      <c r="G31" s="22">
        <f>E31*F31</f>
        <v>12000</v>
      </c>
      <c r="H31" s="33" t="s">
        <v>51</v>
      </c>
    </row>
    <row r="32" spans="2:8" ht="17.149999999999999" customHeight="1" x14ac:dyDescent="0.35">
      <c r="B32" s="13"/>
      <c r="C32" s="13" t="s">
        <v>23</v>
      </c>
      <c r="D32" s="7" t="s">
        <v>17</v>
      </c>
      <c r="E32" s="7">
        <v>2</v>
      </c>
      <c r="F32" s="14">
        <v>3000</v>
      </c>
      <c r="G32" s="22">
        <f t="shared" ref="G32" si="2">F32*E32</f>
        <v>6000</v>
      </c>
      <c r="H32" s="33" t="s">
        <v>51</v>
      </c>
    </row>
    <row r="33" spans="2:9" ht="17.149999999999999" customHeight="1" x14ac:dyDescent="0.35">
      <c r="B33" s="56"/>
      <c r="C33" s="57"/>
      <c r="D33" s="57"/>
      <c r="E33" s="57"/>
      <c r="F33" s="57"/>
      <c r="G33" s="57"/>
      <c r="H33" s="58"/>
    </row>
    <row r="34" spans="2:9" ht="17.149999999999999" customHeight="1" x14ac:dyDescent="0.35">
      <c r="B34" s="8" t="s">
        <v>25</v>
      </c>
      <c r="C34" s="9" t="s">
        <v>20</v>
      </c>
      <c r="D34" s="61"/>
      <c r="E34" s="59"/>
      <c r="F34" s="60"/>
      <c r="G34" s="21">
        <f>SUM(G35:G41)</f>
        <v>126000</v>
      </c>
      <c r="H34" s="33"/>
    </row>
    <row r="35" spans="2:9" ht="17.149999999999999" customHeight="1" x14ac:dyDescent="0.35">
      <c r="B35" s="13"/>
      <c r="C35" s="13" t="s">
        <v>21</v>
      </c>
      <c r="D35" s="7" t="s">
        <v>17</v>
      </c>
      <c r="E35" s="7">
        <v>1</v>
      </c>
      <c r="F35" s="14">
        <v>6000</v>
      </c>
      <c r="G35" s="22">
        <f>F35*E35</f>
        <v>6000</v>
      </c>
      <c r="H35" s="33" t="s">
        <v>55</v>
      </c>
    </row>
    <row r="36" spans="2:9" ht="17.149999999999999" customHeight="1" x14ac:dyDescent="0.35">
      <c r="B36" s="13"/>
      <c r="C36" s="13" t="s">
        <v>30</v>
      </c>
      <c r="D36" s="7" t="s">
        <v>28</v>
      </c>
      <c r="E36" s="7">
        <v>3</v>
      </c>
      <c r="F36" s="14">
        <v>5000</v>
      </c>
      <c r="G36" s="22">
        <f t="shared" ref="G36:G41" si="3">E36*F36</f>
        <v>15000</v>
      </c>
      <c r="H36" s="33" t="s">
        <v>55</v>
      </c>
    </row>
    <row r="37" spans="2:9" ht="17.149999999999999" customHeight="1" x14ac:dyDescent="0.35">
      <c r="B37" s="13"/>
      <c r="C37" s="13" t="s">
        <v>45</v>
      </c>
      <c r="D37" s="7" t="s">
        <v>17</v>
      </c>
      <c r="E37" s="7">
        <v>2</v>
      </c>
      <c r="F37" s="14">
        <v>15000</v>
      </c>
      <c r="G37" s="22">
        <f t="shared" si="3"/>
        <v>30000</v>
      </c>
      <c r="H37" s="33" t="s">
        <v>61</v>
      </c>
    </row>
    <row r="38" spans="2:9" ht="17.149999999999999" customHeight="1" x14ac:dyDescent="0.35">
      <c r="B38" s="13"/>
      <c r="C38" s="13" t="s">
        <v>60</v>
      </c>
      <c r="D38" s="7" t="s">
        <v>13</v>
      </c>
      <c r="E38" s="7">
        <v>1</v>
      </c>
      <c r="F38" s="14">
        <v>17000</v>
      </c>
      <c r="G38" s="22">
        <f>E38*F38</f>
        <v>17000</v>
      </c>
      <c r="H38" s="33" t="s">
        <v>61</v>
      </c>
    </row>
    <row r="39" spans="2:9" ht="17.149999999999999" customHeight="1" x14ac:dyDescent="0.35">
      <c r="B39" s="13"/>
      <c r="C39" s="13" t="s">
        <v>62</v>
      </c>
      <c r="D39" s="7" t="s">
        <v>17</v>
      </c>
      <c r="E39" s="7">
        <v>1</v>
      </c>
      <c r="F39" s="14">
        <v>13000</v>
      </c>
      <c r="G39" s="22">
        <f>E39*F39</f>
        <v>13000</v>
      </c>
      <c r="H39" s="33" t="s">
        <v>53</v>
      </c>
    </row>
    <row r="40" spans="2:9" ht="17.149999999999999" customHeight="1" x14ac:dyDescent="0.35">
      <c r="B40" s="13"/>
      <c r="C40" s="6" t="s">
        <v>63</v>
      </c>
      <c r="D40" s="7" t="s">
        <v>35</v>
      </c>
      <c r="E40" s="7">
        <v>5</v>
      </c>
      <c r="F40" s="11">
        <v>3000</v>
      </c>
      <c r="G40" s="20">
        <f>F40*E40</f>
        <v>15000</v>
      </c>
      <c r="H40" s="33" t="s">
        <v>53</v>
      </c>
    </row>
    <row r="41" spans="2:9" ht="17.149999999999999" customHeight="1" x14ac:dyDescent="0.35">
      <c r="B41" s="13"/>
      <c r="C41" s="13" t="s">
        <v>46</v>
      </c>
      <c r="D41" s="7" t="s">
        <v>13</v>
      </c>
      <c r="E41" s="7">
        <v>10</v>
      </c>
      <c r="F41" s="14">
        <v>3000</v>
      </c>
      <c r="G41" s="22">
        <f t="shared" si="3"/>
        <v>30000</v>
      </c>
      <c r="H41" s="33" t="s">
        <v>53</v>
      </c>
    </row>
    <row r="42" spans="2:9" ht="17.149999999999999" customHeight="1" x14ac:dyDescent="0.35">
      <c r="B42" s="56"/>
      <c r="C42" s="57"/>
      <c r="D42" s="57"/>
      <c r="E42" s="57"/>
      <c r="F42" s="57"/>
      <c r="G42" s="57"/>
      <c r="H42" s="58"/>
    </row>
    <row r="43" spans="2:9" ht="17.149999999999999" customHeight="1" x14ac:dyDescent="0.35">
      <c r="B43" s="35"/>
      <c r="C43" s="35" t="s">
        <v>12</v>
      </c>
      <c r="D43" s="35"/>
      <c r="E43" s="35"/>
      <c r="F43" s="35"/>
      <c r="G43" s="39">
        <f>SUM(G7,G10,G15,G21,G28,G34,)</f>
        <v>662000</v>
      </c>
      <c r="H43" s="40"/>
    </row>
    <row r="44" spans="2:9" ht="17.149999999999999" customHeight="1" x14ac:dyDescent="0.35">
      <c r="B44" s="35"/>
      <c r="C44" s="35"/>
      <c r="D44" s="35"/>
      <c r="E44" s="35"/>
      <c r="F44" s="35"/>
      <c r="G44" s="41"/>
      <c r="H44" s="42"/>
    </row>
    <row r="45" spans="2:9" ht="17.149999999999999" customHeight="1" x14ac:dyDescent="0.35">
      <c r="H45" s="16"/>
    </row>
    <row r="46" spans="2:9" ht="17.149999999999999" customHeight="1" x14ac:dyDescent="0.35">
      <c r="H46" s="16"/>
    </row>
    <row r="47" spans="2:9" ht="17.149999999999999" customHeight="1" x14ac:dyDescent="0.35">
      <c r="B47" s="35" t="s">
        <v>26</v>
      </c>
      <c r="C47" s="35"/>
      <c r="D47" s="35"/>
      <c r="E47" s="35"/>
      <c r="F47" s="35"/>
      <c r="G47" s="35"/>
    </row>
    <row r="48" spans="2:9" ht="17.149999999999999" customHeight="1" x14ac:dyDescent="0.35">
      <c r="B48" s="35"/>
      <c r="C48" s="35"/>
      <c r="D48" s="35"/>
      <c r="E48" s="35"/>
      <c r="F48" s="35"/>
      <c r="G48" s="35"/>
      <c r="I48" s="16"/>
    </row>
    <row r="49" spans="1:9" ht="17.149999999999999" customHeight="1" x14ac:dyDescent="0.35">
      <c r="B49" s="37" t="s">
        <v>12</v>
      </c>
      <c r="C49" s="37"/>
      <c r="D49" s="37"/>
      <c r="E49" s="37"/>
      <c r="F49" s="38">
        <f>G43</f>
        <v>662000</v>
      </c>
      <c r="G49" s="38"/>
      <c r="I49" s="16"/>
    </row>
    <row r="50" spans="1:9" ht="17.149999999999999" customHeight="1" x14ac:dyDescent="0.35">
      <c r="B50" s="37"/>
      <c r="C50" s="37"/>
      <c r="D50" s="37"/>
      <c r="E50" s="37"/>
      <c r="F50" s="38"/>
      <c r="G50" s="38"/>
    </row>
    <row r="51" spans="1:9" ht="17.149999999999999" customHeight="1" x14ac:dyDescent="0.35">
      <c r="B51" s="35" t="s">
        <v>27</v>
      </c>
      <c r="C51" s="35"/>
      <c r="D51" s="35"/>
      <c r="E51" s="35"/>
      <c r="F51" s="35"/>
      <c r="G51" s="35"/>
    </row>
    <row r="52" spans="1:9" ht="17.149999999999999" customHeight="1" x14ac:dyDescent="0.35">
      <c r="B52" s="36" t="s">
        <v>67</v>
      </c>
      <c r="C52" s="36"/>
      <c r="D52" s="36"/>
      <c r="E52" s="36"/>
      <c r="F52" s="36"/>
      <c r="G52" s="36"/>
    </row>
    <row r="53" spans="1:9" ht="17.149999999999999" customHeight="1" x14ac:dyDescent="0.35"/>
    <row r="54" spans="1:9" x14ac:dyDescent="0.35">
      <c r="B54" s="34"/>
      <c r="C54" s="34"/>
      <c r="E54" s="1" t="s">
        <v>33</v>
      </c>
    </row>
    <row r="55" spans="1:9" x14ac:dyDescent="0.35">
      <c r="B55" s="12"/>
      <c r="C55" s="16"/>
      <c r="D55" s="16"/>
      <c r="E55" s="16"/>
      <c r="F55" s="16"/>
      <c r="G55" s="16"/>
    </row>
    <row r="56" spans="1:9" x14ac:dyDescent="0.35">
      <c r="B56" s="15"/>
      <c r="D56" s="2"/>
      <c r="E56" s="2"/>
      <c r="F56" s="2"/>
      <c r="G56" s="2"/>
    </row>
    <row r="57" spans="1:9" x14ac:dyDescent="0.35">
      <c r="B57" s="15"/>
      <c r="D57" s="2"/>
      <c r="E57" s="2"/>
      <c r="F57" s="2"/>
      <c r="G57" s="2"/>
    </row>
    <row r="58" spans="1:9" x14ac:dyDescent="0.35">
      <c r="B58" s="15"/>
      <c r="D58" s="2"/>
      <c r="E58" s="2"/>
      <c r="F58" s="2"/>
      <c r="G58" s="2"/>
    </row>
    <row r="59" spans="1:9" x14ac:dyDescent="0.35">
      <c r="B59" s="15"/>
      <c r="D59" s="2"/>
      <c r="E59" s="2"/>
      <c r="F59" s="2"/>
      <c r="G59" s="2"/>
    </row>
    <row r="60" spans="1:9" x14ac:dyDescent="0.35">
      <c r="B60" s="12"/>
      <c r="D60" s="2"/>
      <c r="E60" s="2"/>
      <c r="F60" s="2"/>
      <c r="G60" s="2"/>
    </row>
    <row r="61" spans="1:9" s="1" customFormat="1" ht="20.149999999999999" customHeight="1" x14ac:dyDescent="0.35">
      <c r="B61" s="12"/>
      <c r="C61" s="2"/>
      <c r="D61" s="2"/>
      <c r="E61" s="2" t="s">
        <v>33</v>
      </c>
      <c r="F61" s="2"/>
      <c r="G61" s="2"/>
      <c r="H61" s="2"/>
      <c r="I61" s="2"/>
    </row>
    <row r="62" spans="1:9" s="16" customFormat="1" ht="22" customHeight="1" x14ac:dyDescent="0.35">
      <c r="B62" s="12"/>
      <c r="C62" s="2"/>
      <c r="D62" s="2"/>
      <c r="E62" s="2"/>
      <c r="F62" s="2"/>
      <c r="G62" s="2"/>
      <c r="H62" s="2"/>
      <c r="I62" s="2"/>
    </row>
    <row r="63" spans="1:9" s="16" customFormat="1" ht="22" customHeight="1" x14ac:dyDescent="0.35">
      <c r="B63" s="12"/>
      <c r="C63" s="2"/>
      <c r="D63" s="2"/>
      <c r="E63" s="2"/>
      <c r="F63" s="2"/>
      <c r="G63" s="2"/>
      <c r="H63" s="2"/>
      <c r="I63" s="2"/>
    </row>
    <row r="64" spans="1:9" s="16" customFormat="1" ht="22" customHeight="1" x14ac:dyDescent="0.35">
      <c r="A64" s="12"/>
      <c r="B64" s="12"/>
      <c r="C64" s="2"/>
      <c r="D64" s="2"/>
      <c r="E64" s="2"/>
      <c r="F64" s="2"/>
      <c r="G64" s="2"/>
      <c r="H64" s="2"/>
      <c r="I64" s="2"/>
    </row>
    <row r="65" spans="1:7" ht="22" customHeight="1" x14ac:dyDescent="0.35">
      <c r="A65" s="15"/>
      <c r="B65" s="12"/>
      <c r="D65" s="2"/>
      <c r="E65" s="2"/>
      <c r="F65" s="2"/>
      <c r="G65" s="2"/>
    </row>
    <row r="66" spans="1:7" x14ac:dyDescent="0.35">
      <c r="A66" s="15"/>
      <c r="B66" s="12"/>
      <c r="D66" s="2"/>
      <c r="E66" s="2"/>
      <c r="F66" s="2"/>
      <c r="G66" s="2"/>
    </row>
    <row r="67" spans="1:7" x14ac:dyDescent="0.35">
      <c r="A67" s="15"/>
      <c r="B67" s="12"/>
      <c r="D67" s="2"/>
      <c r="E67" s="2"/>
      <c r="F67" s="2"/>
      <c r="G67" s="2"/>
    </row>
    <row r="68" spans="1:7" ht="25" customHeight="1" x14ac:dyDescent="0.35">
      <c r="A68" s="15"/>
    </row>
    <row r="69" spans="1:7" ht="25" customHeight="1" x14ac:dyDescent="0.35">
      <c r="A69" s="12"/>
    </row>
    <row r="70" spans="1:7" ht="25" customHeight="1" x14ac:dyDescent="0.35">
      <c r="A70" s="12"/>
    </row>
    <row r="71" spans="1:7" x14ac:dyDescent="0.35">
      <c r="A71" s="12"/>
    </row>
    <row r="72" spans="1:7" x14ac:dyDescent="0.35">
      <c r="A72" s="12"/>
    </row>
    <row r="73" spans="1:7" x14ac:dyDescent="0.35">
      <c r="A73" s="12"/>
    </row>
    <row r="74" spans="1:7" x14ac:dyDescent="0.35">
      <c r="A74" s="12"/>
    </row>
    <row r="75" spans="1:7" x14ac:dyDescent="0.35">
      <c r="A75" s="12"/>
    </row>
    <row r="76" spans="1:7" x14ac:dyDescent="0.35">
      <c r="A76" s="12"/>
    </row>
  </sheetData>
  <mergeCells count="32">
    <mergeCell ref="D7:F7"/>
    <mergeCell ref="B9:H9"/>
    <mergeCell ref="B33:H33"/>
    <mergeCell ref="B42:H42"/>
    <mergeCell ref="B27:H27"/>
    <mergeCell ref="C20:H20"/>
    <mergeCell ref="B14:H14"/>
    <mergeCell ref="D34:F34"/>
    <mergeCell ref="D28:F28"/>
    <mergeCell ref="D21:F21"/>
    <mergeCell ref="D15:F15"/>
    <mergeCell ref="D10:F10"/>
    <mergeCell ref="B1:G1"/>
    <mergeCell ref="B4:G4"/>
    <mergeCell ref="G5:G6"/>
    <mergeCell ref="D5:E5"/>
    <mergeCell ref="B5:B6"/>
    <mergeCell ref="C5:C6"/>
    <mergeCell ref="F5:F6"/>
    <mergeCell ref="B2:I2"/>
    <mergeCell ref="B3:I3"/>
    <mergeCell ref="H4:I4"/>
    <mergeCell ref="H5:H6"/>
    <mergeCell ref="B54:C54"/>
    <mergeCell ref="B43:B44"/>
    <mergeCell ref="C43:F44"/>
    <mergeCell ref="B52:G52"/>
    <mergeCell ref="B47:G48"/>
    <mergeCell ref="B49:E50"/>
    <mergeCell ref="F49:G50"/>
    <mergeCell ref="B51:G51"/>
    <mergeCell ref="G43:H44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Adelita Nur Mu'izah Aprilia</dc:creator>
  <cp:lastModifiedBy>Asus Vivobook</cp:lastModifiedBy>
  <cp:lastPrinted>2025-09-06T14:37:12Z</cp:lastPrinted>
  <dcterms:created xsi:type="dcterms:W3CDTF">2025-07-06T13:05:09Z</dcterms:created>
  <dcterms:modified xsi:type="dcterms:W3CDTF">2025-10-13T02:00:52Z</dcterms:modified>
</cp:coreProperties>
</file>