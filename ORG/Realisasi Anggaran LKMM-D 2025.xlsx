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matif\RAB\"/>
    </mc:Choice>
  </mc:AlternateContent>
  <xr:revisionPtr revIDLastSave="0" documentId="13_ncr:1_{6E13B22B-D54F-49AE-8486-517E90F8838E}" xr6:coauthVersionLast="47" xr6:coauthVersionMax="47" xr10:uidLastSave="{00000000-0000-0000-0000-000000000000}"/>
  <bookViews>
    <workbookView xWindow="-110" yWindow="-110" windowWidth="19420" windowHeight="10300" xr2:uid="{5E24040D-CA6B-4350-995C-5A28B0442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35" i="1" s="1"/>
  <c r="F8" i="1"/>
  <c r="F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</calcChain>
</file>

<file path=xl/sharedStrings.xml><?xml version="1.0" encoding="utf-8"?>
<sst xmlns="http://schemas.openxmlformats.org/spreadsheetml/2006/main" count="92" uniqueCount="54">
  <si>
    <t>No.</t>
  </si>
  <si>
    <t>Uraian</t>
  </si>
  <si>
    <t>Rincian Perhitungan</t>
  </si>
  <si>
    <t>Harga Satuan (Rp)</t>
  </si>
  <si>
    <t>Jumlah (Rp)</t>
  </si>
  <si>
    <t>Nama Toko</t>
  </si>
  <si>
    <t>Satuan</t>
  </si>
  <si>
    <t>Jumlah</t>
  </si>
  <si>
    <t>Kertas HVS</t>
  </si>
  <si>
    <t>Rim</t>
  </si>
  <si>
    <t>FC Chaniago</t>
  </si>
  <si>
    <t>Kertas Linen (Sertifikat)</t>
  </si>
  <si>
    <t>Pcs</t>
  </si>
  <si>
    <t>Map Biola (Tempat Sertifikat)</t>
  </si>
  <si>
    <t>Meter</t>
  </si>
  <si>
    <t>Atiga Printing</t>
  </si>
  <si>
    <t>RO Galon</t>
  </si>
  <si>
    <t>Isi ulang</t>
  </si>
  <si>
    <t>Adhit Water RO</t>
  </si>
  <si>
    <t>Gelas Cup Plastik</t>
  </si>
  <si>
    <t>Pack</t>
  </si>
  <si>
    <t>Toko Eza Grosir</t>
  </si>
  <si>
    <t>Snack Ball</t>
  </si>
  <si>
    <t>Gulung</t>
  </si>
  <si>
    <t>Sampul Coklat Plano</t>
  </si>
  <si>
    <t>Lembar</t>
  </si>
  <si>
    <t>Hadiah (Snack)</t>
  </si>
  <si>
    <t>Kg</t>
  </si>
  <si>
    <t>Putra Risky Buah</t>
  </si>
  <si>
    <t>Selotip</t>
  </si>
  <si>
    <t>Permen (Ice Breaking)</t>
  </si>
  <si>
    <t>Batrai ABC</t>
  </si>
  <si>
    <t>Tali Rafia</t>
  </si>
  <si>
    <t>Buah</t>
  </si>
  <si>
    <t>Lakban</t>
  </si>
  <si>
    <t>Isi Stapler</t>
  </si>
  <si>
    <t>Tisu</t>
  </si>
  <si>
    <t>FreshCare</t>
  </si>
  <si>
    <t>Salonpas Koyo</t>
  </si>
  <si>
    <t>Air Mineral Botol</t>
  </si>
  <si>
    <t>Botol</t>
  </si>
  <si>
    <t>Roti</t>
  </si>
  <si>
    <t>TOTAL</t>
  </si>
  <si>
    <t>Benner 3x1 (LKMM-D)</t>
  </si>
  <si>
    <t>Buah Salak</t>
  </si>
  <si>
    <t>Buah Jeruk</t>
  </si>
  <si>
    <t>Buah Apel</t>
  </si>
  <si>
    <t>Buah Pri</t>
  </si>
  <si>
    <t>Buah Anggur</t>
  </si>
  <si>
    <t>Permen Kiss</t>
  </si>
  <si>
    <t>Le Mineral Botol</t>
  </si>
  <si>
    <t>Toko Nailis</t>
  </si>
  <si>
    <t>TOTAL PEMASUKAN</t>
  </si>
  <si>
    <t>TOTAL PENGELUARAN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</si>
</sst>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164" formatCode="_-[$Rp-3809]* #,##0_-;\-[$Rp-3809]* #,##0_-;_-[$Rp-3809]* &quot;-&quot;??_-;_-@_-"/>
    <numFmt numFmtId="165" formatCode="_-[$Rp-421]* #,##0_-;\-[$Rp-421]* #,##0_-;_-[$Rp-421]* &quot;-&quot;_-;_-@_-"/>
  </numFmts>
  <fonts count="4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2" fontId="2" fillId="3" borderId="1" xfId="0" applyNumberFormat="1" applyFont="1" applyFill="1" applyBorder="1" applyAlignment="1">
      <alignment horizontal="center" vertical="center"/>
    </xf>
    <xf numFmtId="42" fontId="2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/>
    </xf>
    <xf numFmtId="4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1" fillId="0" borderId="1" xfId="0" applyFont="1" applyBorder="1"/>
    <xf numFmtId="42" fontId="2" fillId="0" borderId="1" xfId="1" applyNumberFormat="1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1" fillId="0" borderId="8" xfId="0" applyNumberFormat="1" applyFont="1" applyBorder="1" applyAlignment="1">
      <alignment horizontal="center" vertical="center"/>
    </xf>
    <xf numFmtId="42" fontId="1" fillId="0" borderId="9" xfId="0" applyNumberFormat="1" applyFont="1" applyBorder="1" applyAlignment="1">
      <alignment horizontal="center" vertical="center"/>
    </xf>
    <xf numFmtId="42" fontId="1" fillId="0" borderId="1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7EDF-6B93-47CD-B46C-BE36398E0C04}">
  <dimension ref="A5:K36"/>
  <sheetViews>
    <sheetView tabSelected="1" zoomScale="38" zoomScaleNormal="69" workbookViewId="0">
      <selection activeCell="L8" sqref="L8"/>
    </sheetView>
  </sheetViews>
  <sheetFormatPr defaultRowHeight="14.5" x14ac:dyDescent="0.35"/>
  <cols>
    <col min="1" max="1" width="6.26953125" customWidth="1"/>
    <col min="2" max="2" width="25.54296875" customWidth="1"/>
    <col min="3" max="3" width="8.08984375" customWidth="1"/>
    <col min="4" max="4" width="6.7265625" customWidth="1"/>
    <col min="5" max="5" width="14.7265625" customWidth="1"/>
    <col min="6" max="6" width="13.1796875" customWidth="1"/>
    <col min="7" max="7" width="17.54296875" customWidth="1"/>
    <col min="10" max="10" width="26.7265625" customWidth="1"/>
    <col min="11" max="11" width="16.81640625" customWidth="1"/>
  </cols>
  <sheetData>
    <row r="5" spans="1:11" ht="15.5" x14ac:dyDescent="0.35">
      <c r="A5" s="26" t="s">
        <v>0</v>
      </c>
      <c r="B5" s="26" t="s">
        <v>1</v>
      </c>
      <c r="C5" s="26" t="s">
        <v>2</v>
      </c>
      <c r="D5" s="26"/>
      <c r="E5" s="27" t="s">
        <v>3</v>
      </c>
      <c r="F5" s="28" t="s">
        <v>4</v>
      </c>
      <c r="G5" s="29" t="s">
        <v>5</v>
      </c>
      <c r="J5" s="16" t="s">
        <v>52</v>
      </c>
      <c r="K5" s="17">
        <v>0</v>
      </c>
    </row>
    <row r="6" spans="1:11" ht="15.5" x14ac:dyDescent="0.35">
      <c r="A6" s="26"/>
      <c r="B6" s="26"/>
      <c r="C6" s="1" t="s">
        <v>6</v>
      </c>
      <c r="D6" s="1" t="s">
        <v>7</v>
      </c>
      <c r="E6" s="27"/>
      <c r="F6" s="28"/>
      <c r="G6" s="30"/>
      <c r="J6" s="16" t="s">
        <v>53</v>
      </c>
      <c r="K6" s="17">
        <v>659000</v>
      </c>
    </row>
    <row r="7" spans="1:11" ht="15.5" x14ac:dyDescent="0.35">
      <c r="A7" s="2">
        <v>1</v>
      </c>
      <c r="B7" s="3" t="s">
        <v>8</v>
      </c>
      <c r="C7" s="2" t="s">
        <v>9</v>
      </c>
      <c r="D7" s="2">
        <v>2</v>
      </c>
      <c r="E7" s="4">
        <v>60000</v>
      </c>
      <c r="F7" s="5">
        <f>D7*E7</f>
        <v>120000</v>
      </c>
      <c r="G7" s="2" t="s">
        <v>10</v>
      </c>
    </row>
    <row r="8" spans="1:11" ht="15.5" x14ac:dyDescent="0.35">
      <c r="A8" s="2">
        <v>2</v>
      </c>
      <c r="B8" s="6" t="s">
        <v>11</v>
      </c>
      <c r="C8" s="7" t="s">
        <v>12</v>
      </c>
      <c r="D8" s="7">
        <v>4</v>
      </c>
      <c r="E8" s="8">
        <v>5000</v>
      </c>
      <c r="F8" s="9">
        <f>E8*D8</f>
        <v>20000</v>
      </c>
      <c r="G8" s="10" t="s">
        <v>15</v>
      </c>
    </row>
    <row r="9" spans="1:11" ht="15.5" x14ac:dyDescent="0.35">
      <c r="A9" s="2">
        <v>3</v>
      </c>
      <c r="B9" s="6" t="s">
        <v>13</v>
      </c>
      <c r="C9" s="7" t="s">
        <v>12</v>
      </c>
      <c r="D9" s="7">
        <v>4</v>
      </c>
      <c r="E9" s="8">
        <v>3000</v>
      </c>
      <c r="F9" s="9">
        <f>E9*D9</f>
        <v>12000</v>
      </c>
      <c r="G9" s="10" t="s">
        <v>10</v>
      </c>
    </row>
    <row r="10" spans="1:11" ht="15.5" x14ac:dyDescent="0.35">
      <c r="A10" s="2">
        <v>4</v>
      </c>
      <c r="B10" s="6" t="s">
        <v>43</v>
      </c>
      <c r="C10" s="7" t="s">
        <v>14</v>
      </c>
      <c r="D10" s="7">
        <v>1</v>
      </c>
      <c r="E10" s="8">
        <v>60000</v>
      </c>
      <c r="F10" s="9">
        <v>60000</v>
      </c>
      <c r="G10" s="10" t="s">
        <v>15</v>
      </c>
    </row>
    <row r="11" spans="1:11" ht="15.5" x14ac:dyDescent="0.35">
      <c r="A11" s="2">
        <v>5</v>
      </c>
      <c r="B11" s="6" t="s">
        <v>16</v>
      </c>
      <c r="C11" s="7" t="s">
        <v>17</v>
      </c>
      <c r="D11" s="7">
        <v>5</v>
      </c>
      <c r="E11" s="8">
        <v>5000</v>
      </c>
      <c r="F11" s="9">
        <f>D11*E11</f>
        <v>25000</v>
      </c>
      <c r="G11" s="10" t="s">
        <v>18</v>
      </c>
    </row>
    <row r="12" spans="1:11" ht="15.5" x14ac:dyDescent="0.35">
      <c r="A12" s="2">
        <v>6</v>
      </c>
      <c r="B12" s="6" t="s">
        <v>19</v>
      </c>
      <c r="C12" s="7" t="s">
        <v>20</v>
      </c>
      <c r="D12" s="7">
        <v>3</v>
      </c>
      <c r="E12" s="8">
        <v>5500</v>
      </c>
      <c r="F12" s="9">
        <f>E12*D12</f>
        <v>16500</v>
      </c>
      <c r="G12" s="10" t="s">
        <v>21</v>
      </c>
    </row>
    <row r="13" spans="1:11" ht="15.5" x14ac:dyDescent="0.35">
      <c r="A13" s="2">
        <v>7</v>
      </c>
      <c r="B13" s="6" t="s">
        <v>22</v>
      </c>
      <c r="C13" s="7" t="s">
        <v>20</v>
      </c>
      <c r="D13" s="7">
        <v>5</v>
      </c>
      <c r="E13" s="8">
        <v>15000</v>
      </c>
      <c r="F13" s="9">
        <f>E13*D13</f>
        <v>75000</v>
      </c>
      <c r="G13" s="10" t="s">
        <v>51</v>
      </c>
    </row>
    <row r="14" spans="1:11" ht="15.5" x14ac:dyDescent="0.35">
      <c r="A14" s="2">
        <v>8</v>
      </c>
      <c r="B14" s="11" t="s">
        <v>24</v>
      </c>
      <c r="C14" s="7" t="s">
        <v>25</v>
      </c>
      <c r="D14" s="7">
        <v>2</v>
      </c>
      <c r="E14" s="12">
        <v>3000</v>
      </c>
      <c r="F14" s="13">
        <f t="shared" ref="F14:F15" si="0">E14*D14</f>
        <v>6000</v>
      </c>
      <c r="G14" s="10" t="s">
        <v>10</v>
      </c>
    </row>
    <row r="15" spans="1:11" ht="15.5" x14ac:dyDescent="0.35">
      <c r="A15" s="2">
        <v>9</v>
      </c>
      <c r="B15" s="11" t="s">
        <v>26</v>
      </c>
      <c r="C15" s="7" t="s">
        <v>20</v>
      </c>
      <c r="D15" s="7">
        <v>6</v>
      </c>
      <c r="E15" s="12">
        <v>9000</v>
      </c>
      <c r="F15" s="13">
        <f t="shared" si="0"/>
        <v>54000</v>
      </c>
      <c r="G15" s="10" t="s">
        <v>21</v>
      </c>
    </row>
    <row r="16" spans="1:11" ht="15.5" x14ac:dyDescent="0.35">
      <c r="A16" s="2">
        <v>10</v>
      </c>
      <c r="B16" s="11" t="s">
        <v>44</v>
      </c>
      <c r="C16" s="7" t="s">
        <v>27</v>
      </c>
      <c r="D16" s="7">
        <v>0.5</v>
      </c>
      <c r="E16" s="12">
        <v>16000</v>
      </c>
      <c r="F16" s="12">
        <f t="shared" ref="F16:F22" si="1">D16*E16</f>
        <v>8000</v>
      </c>
      <c r="G16" s="10" t="s">
        <v>28</v>
      </c>
    </row>
    <row r="17" spans="1:7" ht="15.5" x14ac:dyDescent="0.35">
      <c r="A17" s="2">
        <v>11</v>
      </c>
      <c r="B17" s="11" t="s">
        <v>45</v>
      </c>
      <c r="C17" s="7" t="s">
        <v>27</v>
      </c>
      <c r="D17" s="7">
        <v>0.5</v>
      </c>
      <c r="E17" s="12">
        <v>28000</v>
      </c>
      <c r="F17" s="12">
        <f t="shared" si="1"/>
        <v>14000</v>
      </c>
      <c r="G17" s="10" t="s">
        <v>28</v>
      </c>
    </row>
    <row r="18" spans="1:7" ht="15.5" x14ac:dyDescent="0.35">
      <c r="A18" s="2">
        <v>12</v>
      </c>
      <c r="B18" s="11" t="s">
        <v>47</v>
      </c>
      <c r="C18" s="7" t="s">
        <v>27</v>
      </c>
      <c r="D18" s="7">
        <v>0.5</v>
      </c>
      <c r="E18" s="12">
        <v>28000</v>
      </c>
      <c r="F18" s="12">
        <f t="shared" si="1"/>
        <v>14000</v>
      </c>
      <c r="G18" s="10" t="s">
        <v>28</v>
      </c>
    </row>
    <row r="19" spans="1:7" ht="15.5" x14ac:dyDescent="0.35">
      <c r="A19" s="2">
        <v>13</v>
      </c>
      <c r="B19" s="6" t="s">
        <v>46</v>
      </c>
      <c r="C19" s="7" t="s">
        <v>27</v>
      </c>
      <c r="D19" s="7">
        <v>0.5</v>
      </c>
      <c r="E19" s="14">
        <v>36000</v>
      </c>
      <c r="F19" s="8">
        <f t="shared" si="1"/>
        <v>18000</v>
      </c>
      <c r="G19" s="10" t="s">
        <v>28</v>
      </c>
    </row>
    <row r="20" spans="1:7" ht="15.5" x14ac:dyDescent="0.35">
      <c r="A20" s="2">
        <v>14</v>
      </c>
      <c r="B20" s="6" t="s">
        <v>48</v>
      </c>
      <c r="C20" s="7" t="s">
        <v>27</v>
      </c>
      <c r="D20" s="7">
        <v>0.5</v>
      </c>
      <c r="E20" s="14">
        <v>28000</v>
      </c>
      <c r="F20" s="8">
        <f t="shared" si="1"/>
        <v>14000</v>
      </c>
      <c r="G20" s="10" t="s">
        <v>28</v>
      </c>
    </row>
    <row r="21" spans="1:7" ht="15.5" x14ac:dyDescent="0.35">
      <c r="A21" s="2">
        <v>15</v>
      </c>
      <c r="B21" s="6" t="s">
        <v>29</v>
      </c>
      <c r="C21" s="7" t="s">
        <v>12</v>
      </c>
      <c r="D21" s="7">
        <v>1</v>
      </c>
      <c r="E21" s="14">
        <v>2000</v>
      </c>
      <c r="F21" s="8">
        <f t="shared" si="1"/>
        <v>2000</v>
      </c>
      <c r="G21" s="10" t="s">
        <v>10</v>
      </c>
    </row>
    <row r="22" spans="1:7" ht="15.5" x14ac:dyDescent="0.35">
      <c r="A22" s="2">
        <v>16</v>
      </c>
      <c r="B22" s="6" t="s">
        <v>49</v>
      </c>
      <c r="C22" s="7" t="s">
        <v>20</v>
      </c>
      <c r="D22" s="7">
        <v>6</v>
      </c>
      <c r="E22" s="14">
        <v>7000</v>
      </c>
      <c r="F22" s="9">
        <f t="shared" si="1"/>
        <v>42000</v>
      </c>
      <c r="G22" s="10" t="s">
        <v>21</v>
      </c>
    </row>
    <row r="23" spans="1:7" ht="15.5" x14ac:dyDescent="0.35">
      <c r="A23" s="2">
        <v>17</v>
      </c>
      <c r="B23" s="11" t="s">
        <v>30</v>
      </c>
      <c r="C23" s="7" t="s">
        <v>20</v>
      </c>
      <c r="D23" s="7">
        <v>1</v>
      </c>
      <c r="E23" s="12">
        <v>10000</v>
      </c>
      <c r="F23" s="13">
        <f>E23*D23</f>
        <v>10000</v>
      </c>
      <c r="G23" s="10" t="s">
        <v>21</v>
      </c>
    </row>
    <row r="24" spans="1:7" ht="15.5" x14ac:dyDescent="0.35">
      <c r="A24" s="2">
        <v>18</v>
      </c>
      <c r="B24" s="6" t="s">
        <v>50</v>
      </c>
      <c r="C24" s="10" t="s">
        <v>40</v>
      </c>
      <c r="D24" s="10">
        <v>8</v>
      </c>
      <c r="E24" s="15">
        <v>2500</v>
      </c>
      <c r="F24" s="15">
        <f>D24*E24</f>
        <v>20000</v>
      </c>
      <c r="G24" s="10" t="s">
        <v>21</v>
      </c>
    </row>
    <row r="25" spans="1:7" ht="15.5" x14ac:dyDescent="0.35">
      <c r="A25" s="2">
        <v>19</v>
      </c>
      <c r="B25" s="11" t="s">
        <v>31</v>
      </c>
      <c r="C25" s="7" t="s">
        <v>20</v>
      </c>
      <c r="D25" s="7">
        <v>3</v>
      </c>
      <c r="E25" s="12">
        <v>10000</v>
      </c>
      <c r="F25" s="13">
        <f>D25*E25</f>
        <v>30000</v>
      </c>
      <c r="G25" s="10" t="s">
        <v>21</v>
      </c>
    </row>
    <row r="26" spans="1:7" ht="15.5" x14ac:dyDescent="0.35">
      <c r="A26" s="2">
        <v>20</v>
      </c>
      <c r="B26" s="11" t="s">
        <v>32</v>
      </c>
      <c r="C26" s="7" t="s">
        <v>33</v>
      </c>
      <c r="D26" s="7">
        <v>1</v>
      </c>
      <c r="E26" s="12">
        <v>5000</v>
      </c>
      <c r="F26" s="13">
        <f>D26*E26</f>
        <v>5000</v>
      </c>
      <c r="G26" s="10" t="s">
        <v>21</v>
      </c>
    </row>
    <row r="27" spans="1:7" ht="15.5" x14ac:dyDescent="0.35">
      <c r="A27" s="2">
        <v>21</v>
      </c>
      <c r="B27" s="11" t="s">
        <v>34</v>
      </c>
      <c r="C27" s="7" t="s">
        <v>23</v>
      </c>
      <c r="D27" s="7">
        <v>1</v>
      </c>
      <c r="E27" s="12">
        <v>25000</v>
      </c>
      <c r="F27" s="13">
        <f>D27*E27</f>
        <v>25000</v>
      </c>
      <c r="G27" s="10" t="s">
        <v>10</v>
      </c>
    </row>
    <row r="28" spans="1:7" ht="15.5" x14ac:dyDescent="0.35">
      <c r="A28" s="2">
        <v>22</v>
      </c>
      <c r="B28" s="11" t="s">
        <v>35</v>
      </c>
      <c r="C28" s="7" t="s">
        <v>20</v>
      </c>
      <c r="D28" s="7">
        <v>2</v>
      </c>
      <c r="E28" s="12">
        <v>2000</v>
      </c>
      <c r="F28" s="13">
        <f t="shared" ref="F28" si="2">E28*D28</f>
        <v>4000</v>
      </c>
      <c r="G28" s="10" t="s">
        <v>10</v>
      </c>
    </row>
    <row r="29" spans="1:7" ht="15.5" x14ac:dyDescent="0.35">
      <c r="A29" s="2">
        <v>23</v>
      </c>
      <c r="B29" s="11" t="s">
        <v>36</v>
      </c>
      <c r="C29" s="7" t="s">
        <v>20</v>
      </c>
      <c r="D29" s="7">
        <v>1</v>
      </c>
      <c r="E29" s="12">
        <v>6500</v>
      </c>
      <c r="F29" s="13">
        <f t="shared" ref="F29:F33" si="3">D29*E29</f>
        <v>6500</v>
      </c>
      <c r="G29" s="10" t="s">
        <v>21</v>
      </c>
    </row>
    <row r="30" spans="1:7" ht="15.5" x14ac:dyDescent="0.35">
      <c r="A30" s="2">
        <v>24</v>
      </c>
      <c r="B30" s="11" t="s">
        <v>37</v>
      </c>
      <c r="C30" s="7" t="s">
        <v>12</v>
      </c>
      <c r="D30" s="7">
        <v>1</v>
      </c>
      <c r="E30" s="12">
        <v>11000</v>
      </c>
      <c r="F30" s="13">
        <f>D30*E30</f>
        <v>11000</v>
      </c>
      <c r="G30" s="10" t="s">
        <v>21</v>
      </c>
    </row>
    <row r="31" spans="1:7" ht="15.5" x14ac:dyDescent="0.35">
      <c r="A31" s="2">
        <v>25</v>
      </c>
      <c r="B31" s="11" t="s">
        <v>38</v>
      </c>
      <c r="C31" s="7" t="s">
        <v>20</v>
      </c>
      <c r="D31" s="7">
        <v>1</v>
      </c>
      <c r="E31" s="12">
        <v>9000</v>
      </c>
      <c r="F31" s="13">
        <f>D31*E31</f>
        <v>9000</v>
      </c>
      <c r="G31" s="10" t="s">
        <v>21</v>
      </c>
    </row>
    <row r="32" spans="1:7" ht="15.5" x14ac:dyDescent="0.35">
      <c r="A32" s="2">
        <v>26</v>
      </c>
      <c r="B32" s="6" t="s">
        <v>39</v>
      </c>
      <c r="C32" s="7" t="s">
        <v>40</v>
      </c>
      <c r="D32" s="7">
        <v>5</v>
      </c>
      <c r="E32" s="8">
        <v>2200</v>
      </c>
      <c r="F32" s="9">
        <f>E32*D32</f>
        <v>11000</v>
      </c>
      <c r="G32" s="10" t="s">
        <v>21</v>
      </c>
    </row>
    <row r="33" spans="1:7" ht="15.5" x14ac:dyDescent="0.35">
      <c r="A33" s="2">
        <v>27</v>
      </c>
      <c r="B33" s="11" t="s">
        <v>41</v>
      </c>
      <c r="C33" s="7" t="s">
        <v>20</v>
      </c>
      <c r="D33" s="7">
        <v>3</v>
      </c>
      <c r="E33" s="12">
        <v>9000</v>
      </c>
      <c r="F33" s="13">
        <f t="shared" si="3"/>
        <v>27000</v>
      </c>
      <c r="G33" s="10" t="s">
        <v>51</v>
      </c>
    </row>
    <row r="34" spans="1:7" ht="15.5" x14ac:dyDescent="0.35">
      <c r="A34" s="23"/>
      <c r="B34" s="24"/>
      <c r="C34" s="24"/>
      <c r="D34" s="24"/>
      <c r="E34" s="24"/>
      <c r="F34" s="24"/>
      <c r="G34" s="25"/>
    </row>
    <row r="35" spans="1:7" x14ac:dyDescent="0.35">
      <c r="A35" s="18"/>
      <c r="B35" s="18" t="s">
        <v>42</v>
      </c>
      <c r="C35" s="18"/>
      <c r="D35" s="18"/>
      <c r="E35" s="18"/>
      <c r="F35" s="19">
        <f>SUM(F7:F33)</f>
        <v>659000</v>
      </c>
      <c r="G35" s="20"/>
    </row>
    <row r="36" spans="1:7" x14ac:dyDescent="0.35">
      <c r="A36" s="18"/>
      <c r="B36" s="18"/>
      <c r="C36" s="18"/>
      <c r="D36" s="18"/>
      <c r="E36" s="18"/>
      <c r="F36" s="21"/>
      <c r="G36" s="22"/>
    </row>
  </sheetData>
  <mergeCells count="10">
    <mergeCell ref="A35:A36"/>
    <mergeCell ref="B35:E36"/>
    <mergeCell ref="F35:G36"/>
    <mergeCell ref="A34:G34"/>
    <mergeCell ref="A5:A6"/>
    <mergeCell ref="B5:B6"/>
    <mergeCell ref="C5:D5"/>
    <mergeCell ref="E5:E6"/>
    <mergeCell ref="F5:F6"/>
    <mergeCell ref="G5:G6"/>
  </mergeCells>
  <pageMargins left="0.25" right="0.25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2025-10-28T00:58:14Z</dcterms:created>
  <dcterms:modified xsi:type="dcterms:W3CDTF">2025-11-06T12:57:36Z</dcterms:modified>
</cp:coreProperties>
</file>